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BA\OSCM 2\"/>
    </mc:Choice>
  </mc:AlternateContent>
  <bookViews>
    <workbookView xWindow="0" yWindow="0" windowWidth="13845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B29" i="1" l="1"/>
  <c r="A29" i="1"/>
  <c r="F25" i="1" s="1"/>
  <c r="F20" i="1" l="1"/>
  <c r="F23" i="1"/>
  <c r="F21" i="1"/>
  <c r="F22" i="1"/>
  <c r="F24" i="1"/>
  <c r="E18" i="1"/>
  <c r="E19" i="1"/>
  <c r="E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G21" i="1" l="1"/>
  <c r="H21" i="1" s="1"/>
  <c r="G22" i="1"/>
  <c r="H22" i="1" s="1"/>
  <c r="G23" i="1"/>
  <c r="H23" i="1" s="1"/>
  <c r="G24" i="1"/>
  <c r="H24" i="1" s="1"/>
  <c r="G25" i="1"/>
  <c r="H25" i="1" s="1"/>
  <c r="G20" i="1"/>
  <c r="H20" i="1" s="1"/>
  <c r="H26" i="1" l="1"/>
  <c r="I20" i="1" s="1"/>
</calcChain>
</file>

<file path=xl/sharedStrings.xml><?xml version="1.0" encoding="utf-8"?>
<sst xmlns="http://schemas.openxmlformats.org/spreadsheetml/2006/main" count="47" uniqueCount="46">
  <si>
    <t>Month</t>
  </si>
  <si>
    <t>ln(x)</t>
  </si>
  <si>
    <t>Slope (b)</t>
  </si>
  <si>
    <t>Intercept (a)</t>
  </si>
  <si>
    <t>The Forecasting Equation</t>
  </si>
  <si>
    <t>x</t>
  </si>
  <si>
    <t>MAPE</t>
  </si>
  <si>
    <t>Actual - Forecast</t>
  </si>
  <si>
    <t>(Actual - Forecast)/Actual</t>
  </si>
  <si>
    <t>ln(y)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</si>
  <si>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</si>
  <si>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</si>
  <si>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</si>
  <si>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</si>
  <si>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</si>
  <si>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</si>
  <si>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</si>
  <si>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</si>
  <si>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</si>
  <si>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</si>
  <si>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</si>
  <si>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</si>
  <si>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</si>
  <si>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</si>
  <si>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</si>
  <si>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</si>
  <si>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</si>
  <si>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</si>
  <si>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</si>
  <si>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</si>
  <si>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</si>
  <si>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</si>
  <si>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</si>
  <si>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</si>
  <si>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</si>
  <si>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</si>
  <si>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</si>
  <si>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</si>
  <si>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</si>
  <si>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</si>
  <si>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</si>
  <si>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</si>
  <si>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</si>
  <si>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r>
      <rPr>
        <sz val="28"/>
        <color theme="1"/>
        <rFont val="Calibri"/>
        <family val="2"/>
        <scheme val="minor"/>
      </rPr>
      <t>y=ax</t>
    </r>
    <r>
      <rPr>
        <vertAlign val="superscript"/>
        <sz val="28"/>
        <color theme="1"/>
        <rFont val="Calibri"/>
        <family val="2"/>
        <scheme val="minor"/>
      </rPr>
      <t>b</t>
    </r>
  </si>
  <si>
    <t>Amount of Smartphone Sold Globally (y)</t>
  </si>
  <si>
    <t>Forecasted Amount of Smartphone Sold Globally (Forecasted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</si>
</sst>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ＭＳ Ｐ明朝"/>
      <family val="2"/>
      <charset val="128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vertAlign val="superscript"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4" borderId="0" xfId="0" applyFont="1" applyFill="1"/>
    <xf numFmtId="0" fontId="0" fillId="5" borderId="0" xfId="0" applyFont="1" applyFill="1"/>
    <xf numFmtId="0" fontId="3" fillId="4" borderId="0" xfId="0" applyFont="1" applyFill="1" applyAlignment="1">
      <alignment horizontal="center" vertical="center"/>
    </xf>
    <xf numFmtId="38" fontId="5" fillId="6" borderId="2" xfId="1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38" fontId="5" fillId="2" borderId="2" xfId="1" applyFont="1" applyFill="1" applyBorder="1">
      <alignment vertical="center"/>
    </xf>
    <xf numFmtId="17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1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38" fontId="5" fillId="0" borderId="2" xfId="1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2">
    <cellStyle name="Comma [0]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Comparison of actual and logarithmically</a:t>
            </a:r>
            <a:r>
              <a:rPr lang="en-US" b="1" baseline="0">
                <a:solidFill>
                  <a:schemeClr val="tx1"/>
                </a:solidFill>
              </a:rPr>
              <a:t> forecasted data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842759826228743"/>
          <c:y val="2.0454547284766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53943447626856"/>
          <c:y val="9.2665105573857251E-2"/>
          <c:w val="0.7457894119618026"/>
          <c:h val="0.73840888401487359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Amount of Smartphone Sold Globally (y)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Sheet1!$B$20:$B$25</c:f>
              <c:numCache>
                <c:formatCode>General</c:formatCode>
                <c:ptCount val="6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Sheet1!$C$20:$C$25</c:f>
              <c:numCache>
                <c:formatCode>#,##0_);[Red]\(#,##0\)</c:formatCode>
                <c:ptCount val="6"/>
                <c:pt idx="0">
                  <c:v>262133</c:v>
                </c:pt>
                <c:pt idx="1">
                  <c:v>262745</c:v>
                </c:pt>
                <c:pt idx="2">
                  <c:v>251081</c:v>
                </c:pt>
                <c:pt idx="3">
                  <c:v>278157</c:v>
                </c:pt>
                <c:pt idx="4">
                  <c:v>258517</c:v>
                </c:pt>
                <c:pt idx="5">
                  <c:v>265067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3-49F6-A6BD-7A6F5C8F218E}"/>
            </c:ext>
          </c:extLst>
        </c:ser>
        <c:ser>
          <c:idx val="1"/>
          <c:order val="1"/>
          <c:tx>
            <c:strRef>
              <c:f>Sheet1!$F$19</c:f>
              <c:strCache>
                <c:ptCount val="1"/>
                <c:pt idx="0">
                  <c:v>Forecasted Amount of Smartphone Sold Globally (Forecasted y)</c:v>
                </c:pt>
              </c:strCache>
            </c:strRef>
          </c:tx>
          <c:spPr>
            <a:ln w="381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Sheet1!$F$20:$F$25</c:f>
              <c:numCache>
                <c:formatCode>General</c:formatCode>
                <c:ptCount val="6"/>
                <c:pt idx="0">
                  <c:v>265015.88359058613</c:v>
                </c:pt>
                <c:pt idx="1">
                  <c:v>264380.24847621698</c:v>
                </c:pt>
                <c:pt idx="2">
                  <c:v>263777.04740154941</c:v>
                </c:pt>
                <c:pt idx="3">
                  <c:v>263203.19428417122</c:v>
                </c:pt>
                <c:pt idx="4">
                  <c:v>262656.02079095604</c:v>
                </c:pt>
                <c:pt idx="5">
                  <c:v>262133.20441392111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3-49F6-A6BD-7A6F5C8F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upBars>
          <c:downBars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downBars>
        </c:upDownBars>
        <c:smooth val="0"/>
        <c:axId val="431896112"/>
        <c:axId val="431891192"/>
      </c:lineChart>
      <c:catAx>
        <c:axId val="43189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0556190316635952"/>
              <c:y val="0.90051250979207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91192"/>
        <c:crosses val="autoZero"/>
        <c:auto val="1"/>
        <c:lblAlgn val="ctr"/>
        <c:lblOffset val="100"/>
        <c:noMultiLvlLbl val="0"/>
      </c:catAx>
      <c:valAx>
        <c:axId val="431891192"/>
        <c:scaling>
          <c:orientation val="minMax"/>
          <c:min val="250000"/>
        </c:scaling>
        <c:delete val="0"/>
        <c:axPos val="l"/>
        <c:majorGridlines>
          <c:spPr>
            <a:ln w="19050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Export in million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600">
                    <a:solidFill>
                      <a:sysClr val="windowText" lastClr="000000"/>
                    </a:solidFill>
                  </a:rPr>
                  <a:t>USD</a:t>
                </a:r>
              </a:p>
            </c:rich>
          </c:tx>
          <c:layout>
            <c:manualLayout>
              <c:xMode val="edge"/>
              <c:yMode val="edge"/>
              <c:x val="2.288172223152957E-2"/>
              <c:y val="0.24933097939655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96112"/>
        <c:crosses val="autoZero"/>
        <c:crossBetween val="between"/>
        <c:majorUnit val="25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364590636606431"/>
          <c:y val="0.11690843940117357"/>
          <c:w val="0.32964166831037306"/>
          <c:h val="0.18525474969323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Sheet1!$D$60:$D$83</c:f>
              <c:numCache>
                <c:formatCode>General</c:formatCode>
                <c:ptCount val="24"/>
                <c:pt idx="0">
                  <c:v>4.3050189884768386E-2</c:v>
                </c:pt>
                <c:pt idx="1">
                  <c:v>-9.8483317022765249E-2</c:v>
                </c:pt>
                <c:pt idx="2">
                  <c:v>-4.9493555973683101E-3</c:v>
                </c:pt>
                <c:pt idx="3">
                  <c:v>0.24967794810037525</c:v>
                </c:pt>
                <c:pt idx="4">
                  <c:v>-0.1476381139345726</c:v>
                </c:pt>
                <c:pt idx="5">
                  <c:v>-2.6051096928870976E-2</c:v>
                </c:pt>
                <c:pt idx="6">
                  <c:v>-6.9566228969737409E-3</c:v>
                </c:pt>
                <c:pt idx="7">
                  <c:v>-5.3726715026220617E-2</c:v>
                </c:pt>
                <c:pt idx="8">
                  <c:v>-0.1158392397745871</c:v>
                </c:pt>
                <c:pt idx="9">
                  <c:v>5.5569700379029641E-2</c:v>
                </c:pt>
                <c:pt idx="10">
                  <c:v>-5.0985489666288686E-4</c:v>
                </c:pt>
                <c:pt idx="11">
                  <c:v>2.9827773379372147E-2</c:v>
                </c:pt>
                <c:pt idx="12">
                  <c:v>8.1777042309946424E-2</c:v>
                </c:pt>
                <c:pt idx="13">
                  <c:v>-6.7243567139177784E-2</c:v>
                </c:pt>
                <c:pt idx="14">
                  <c:v>-9.5450455283305757E-3</c:v>
                </c:pt>
                <c:pt idx="15">
                  <c:v>0.28086069654951373</c:v>
                </c:pt>
                <c:pt idx="16">
                  <c:v>-0.16471357143109877</c:v>
                </c:pt>
                <c:pt idx="17">
                  <c:v>-3.5545067710728517E-2</c:v>
                </c:pt>
                <c:pt idx="18">
                  <c:v>-9.9323885613209484E-3</c:v>
                </c:pt>
                <c:pt idx="19">
                  <c:v>-5.1726916948098278E-3</c:v>
                </c:pt>
                <c:pt idx="20">
                  <c:v>-4.8271824028836008E-2</c:v>
                </c:pt>
                <c:pt idx="21">
                  <c:v>5.6340086990893212E-2</c:v>
                </c:pt>
                <c:pt idx="22">
                  <c:v>-1.478024587827953E-2</c:v>
                </c:pt>
                <c:pt idx="23">
                  <c:v>1.2255280456678008E-2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F0-4690-BA3E-A26318FF0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13880"/>
        <c:axId val="543414208"/>
      </c:scatterChart>
      <c:valAx>
        <c:axId val="543413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414208"/>
        <c:crosses val="autoZero"/>
        <c:crossBetween val="midCat"/>
      </c:valAx>
      <c:valAx>
        <c:axId val="54341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413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Sheet1!$E$2:$E$25</c:f>
              <c:numCache>
                <c:formatCode>General</c:formatCode>
                <c:ptCount val="24"/>
                <c:pt idx="0">
                  <c:v>12.66895094983332</c:v>
                </c:pt>
                <c:pt idx="1">
                  <c:v>12.494610601609047</c:v>
                </c:pt>
                <c:pt idx="2">
                  <c:v>12.568953791097043</c:v>
                </c:pt>
                <c:pt idx="3">
                  <c:v>12.809965025415449</c:v>
                </c:pt>
                <c:pt idx="4">
                  <c:v>12.402087519456131</c:v>
                </c:pt>
                <c:pt idx="5">
                  <c:v>12.515045208448802</c:v>
                </c:pt>
                <c:pt idx="6">
                  <c:v>12.526843689603869</c:v>
                </c:pt>
                <c:pt idx="7">
                  <c:v>12.473753520972114</c:v>
                </c:pt>
                <c:pt idx="8">
                  <c:v>12.406066293665683</c:v>
                </c:pt>
                <c:pt idx="9">
                  <c:v>12.572488492452996</c:v>
                </c:pt>
                <c:pt idx="10">
                  <c:v>12.511897880893146</c:v>
                </c:pt>
                <c:pt idx="11">
                  <c:v>12.538117237440305</c:v>
                </c:pt>
                <c:pt idx="12">
                  <c:v>12.586278063623286</c:v>
                </c:pt>
                <c:pt idx="13">
                  <c:v>12.433749904044925</c:v>
                </c:pt>
                <c:pt idx="14">
                  <c:v>12.488182974608232</c:v>
                </c:pt>
                <c:pt idx="15">
                  <c:v>12.77553409123111</c:v>
                </c:pt>
                <c:pt idx="16">
                  <c:v>12.327090443696486</c:v>
                </c:pt>
                <c:pt idx="17">
                  <c:v>12.453553624412804</c:v>
                </c:pt>
                <c:pt idx="18">
                  <c:v>12.476607287528678</c:v>
                </c:pt>
                <c:pt idx="19">
                  <c:v>12.478939259062416</c:v>
                </c:pt>
                <c:pt idx="20">
                  <c:v>12.433530875217865</c:v>
                </c:pt>
                <c:pt idx="21">
                  <c:v>12.535940981463963</c:v>
                </c:pt>
                <c:pt idx="22">
                  <c:v>12.462716734791472</c:v>
                </c:pt>
                <c:pt idx="23">
                  <c:v>12.487737903200873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D-4F92-B8DF-4CAB3DED3D77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Sheet1!$C$60:$C$83</c:f>
              <c:numCache>
                <c:formatCode>General</c:formatCode>
                <c:ptCount val="24"/>
                <c:pt idx="0">
                  <c:v>12.625900759948552</c:v>
                </c:pt>
                <c:pt idx="1">
                  <c:v>12.593093918631812</c:v>
                </c:pt>
                <c:pt idx="2">
                  <c:v>12.573903146694411</c:v>
                </c:pt>
                <c:pt idx="3">
                  <c:v>12.560287077315074</c:v>
                </c:pt>
                <c:pt idx="4">
                  <c:v>12.549725633390704</c:v>
                </c:pt>
                <c:pt idx="5">
                  <c:v>12.541096305377673</c:v>
                </c:pt>
                <c:pt idx="6">
                  <c:v>12.533800312500842</c:v>
                </c:pt>
                <c:pt idx="7">
                  <c:v>12.527480235998334</c:v>
                </c:pt>
                <c:pt idx="8">
                  <c:v>12.52190553344027</c:v>
                </c:pt>
                <c:pt idx="9">
                  <c:v>12.516918792073966</c:v>
                </c:pt>
                <c:pt idx="10">
                  <c:v>12.512407735789809</c:v>
                </c:pt>
                <c:pt idx="11">
                  <c:v>12.508289464060933</c:v>
                </c:pt>
                <c:pt idx="12">
                  <c:v>12.50450102131334</c:v>
                </c:pt>
                <c:pt idx="13">
                  <c:v>12.500993471184103</c:v>
                </c:pt>
                <c:pt idx="14">
                  <c:v>12.497728020136563</c:v>
                </c:pt>
                <c:pt idx="15">
                  <c:v>12.494673394681596</c:v>
                </c:pt>
                <c:pt idx="16">
                  <c:v>12.491804015127585</c:v>
                </c:pt>
                <c:pt idx="17">
                  <c:v>12.489098692123532</c:v>
                </c:pt>
                <c:pt idx="18">
                  <c:v>12.486539676089999</c:v>
                </c:pt>
                <c:pt idx="19">
                  <c:v>12.484111950757226</c:v>
                </c:pt>
                <c:pt idx="20">
                  <c:v>12.481802699246701</c:v>
                </c:pt>
                <c:pt idx="21">
                  <c:v>12.479600894473069</c:v>
                </c:pt>
                <c:pt idx="22">
                  <c:v>12.477496980669752</c:v>
                </c:pt>
                <c:pt idx="23">
                  <c:v>12.475482622744195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6D-4F92-B8DF-4CAB3DED3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23392"/>
        <c:axId val="543419784"/>
      </c:scatterChart>
      <c:valAx>
        <c:axId val="54342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419784"/>
        <c:crosses val="autoZero"/>
        <c:crossBetween val="midCat"/>
      </c:valAx>
      <c:valAx>
        <c:axId val="543419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423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Sheet1!$G$60:$G$83</c:f>
              <c:numCache>
                <c:formatCode>General</c:formatCode>
                <c:ptCount val="24"/>
                <c:pt idx="0">
                  <c:v>2.0833333333333335</c:v>
                </c:pt>
                <c:pt idx="1">
                  <c:v>6.25</c:v>
                </c:pt>
                <c:pt idx="2">
                  <c:v>10.416666666666668</c:v>
                </c:pt>
                <c:pt idx="3">
                  <c:v>14.583333333333334</c:v>
                </c:pt>
                <c:pt idx="4">
                  <c:v>18.75</c:v>
                </c:pt>
                <c:pt idx="5">
                  <c:v>22.916666666666668</c:v>
                </c:pt>
                <c:pt idx="6">
                  <c:v>27.083333333333332</c:v>
                </c:pt>
                <c:pt idx="7">
                  <c:v>31.25</c:v>
                </c:pt>
                <c:pt idx="8">
                  <c:v>35.416666666666671</c:v>
                </c:pt>
                <c:pt idx="9">
                  <c:v>39.583333333333336</c:v>
                </c:pt>
                <c:pt idx="10">
                  <c:v>43.750000000000007</c:v>
                </c:pt>
                <c:pt idx="11">
                  <c:v>47.916666666666671</c:v>
                </c:pt>
                <c:pt idx="12">
                  <c:v>52.083333333333336</c:v>
                </c:pt>
                <c:pt idx="13">
                  <c:v>56.250000000000007</c:v>
                </c:pt>
                <c:pt idx="14">
                  <c:v>60.416666666666671</c:v>
                </c:pt>
                <c:pt idx="15">
                  <c:v>64.583333333333343</c:v>
                </c:pt>
                <c:pt idx="16">
                  <c:v>68.75</c:v>
                </c:pt>
                <c:pt idx="17">
                  <c:v>72.916666666666671</c:v>
                </c:pt>
                <c:pt idx="18">
                  <c:v>77.083333333333329</c:v>
                </c:pt>
                <c:pt idx="19">
                  <c:v>81.25</c:v>
                </c:pt>
                <c:pt idx="20">
                  <c:v>85.416666666666671</c:v>
                </c:pt>
                <c:pt idx="21">
                  <c:v>89.583333333333329</c:v>
                </c:pt>
                <c:pt idx="22">
                  <c:v>93.75</c:v>
                </c:pt>
                <c:pt idx="23">
                  <c:v>97.916666666666671</c:v>
                </c:pt>
              </c:numCache>
            </c:numRef>
          </c:xVal>
          <c:yVal>
            <c:numRef>
              <c:f>Sheet1!$H$60:$H$83</c:f>
              <c:numCache>
                <c:formatCode>General</c:formatCode>
                <c:ptCount val="24"/>
                <c:pt idx="0">
                  <c:v>12.327090443696486</c:v>
                </c:pt>
                <c:pt idx="1">
                  <c:v>12.402087519456131</c:v>
                </c:pt>
                <c:pt idx="2">
                  <c:v>12.406066293665683</c:v>
                </c:pt>
                <c:pt idx="3">
                  <c:v>12.433530875217865</c:v>
                </c:pt>
                <c:pt idx="4">
                  <c:v>12.433749904044925</c:v>
                </c:pt>
                <c:pt idx="5">
                  <c:v>12.453553624412804</c:v>
                </c:pt>
                <c:pt idx="6">
                  <c:v>12.462716734791472</c:v>
                </c:pt>
                <c:pt idx="7">
                  <c:v>12.473753520972114</c:v>
                </c:pt>
                <c:pt idx="8">
                  <c:v>12.476607287528678</c:v>
                </c:pt>
                <c:pt idx="9">
                  <c:v>12.478939259062416</c:v>
                </c:pt>
                <c:pt idx="10">
                  <c:v>12.487737903200873</c:v>
                </c:pt>
                <c:pt idx="11">
                  <c:v>12.488182974608232</c:v>
                </c:pt>
                <c:pt idx="12">
                  <c:v>12.494610601609047</c:v>
                </c:pt>
                <c:pt idx="13">
                  <c:v>12.511897880893146</c:v>
                </c:pt>
                <c:pt idx="14">
                  <c:v>12.515045208448802</c:v>
                </c:pt>
                <c:pt idx="15">
                  <c:v>12.526843689603869</c:v>
                </c:pt>
                <c:pt idx="16">
                  <c:v>12.535940981463963</c:v>
                </c:pt>
                <c:pt idx="17">
                  <c:v>12.538117237440305</c:v>
                </c:pt>
                <c:pt idx="18">
                  <c:v>12.568953791097043</c:v>
                </c:pt>
                <c:pt idx="19">
                  <c:v>12.572488492452996</c:v>
                </c:pt>
                <c:pt idx="20">
                  <c:v>12.586278063623286</c:v>
                </c:pt>
                <c:pt idx="21">
                  <c:v>12.66895094983332</c:v>
                </c:pt>
                <c:pt idx="22">
                  <c:v>12.77553409123111</c:v>
                </c:pt>
                <c:pt idx="23">
                  <c:v>12.809965025415449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B5-4D89-99FE-B9D6D7BF2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20440"/>
        <c:axId val="543421424"/>
      </c:scatterChart>
      <c:valAx>
        <c:axId val="543420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421424"/>
        <c:crosses val="autoZero"/>
        <c:crossBetween val="midCat"/>
      </c:valAx>
      <c:valAx>
        <c:axId val="543421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420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42810</xdr:colOff>
      <xdr:row>0</xdr:row>
      <xdr:rowOff>117725</xdr:rowOff>
    </xdr:from>
    <xdr:to>
      <xdr:col>13</xdr:col>
      <xdr:colOff>484307</xdr:colOff>
      <xdr:row>17</xdr:row>
      <xdr:rowOff>107023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409361</xdr:colOff>
      <xdr:row>5</xdr:row>
      <xdr:rowOff>130997</xdr:rowOff>
    </xdr:from>
    <xdr:to>
      <xdr:col>26</xdr:col>
      <xdr:colOff>409361</xdr:colOff>
      <xdr:row>15</xdr:row>
      <xdr:rowOff>148870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366552</xdr:colOff>
      <xdr:row>16</xdr:row>
      <xdr:rowOff>18514</xdr:rowOff>
    </xdr:from>
    <xdr:to>
      <xdr:col>26</xdr:col>
      <xdr:colOff>366552</xdr:colOff>
      <xdr:row>24</xdr:row>
      <xdr:rowOff>41845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355850</xdr:colOff>
      <xdr:row>25</xdr:row>
      <xdr:rowOff>1392</xdr:rowOff>
    </xdr:from>
    <xdr:to>
      <xdr:col>26</xdr:col>
      <xdr:colOff>355848</xdr:colOff>
      <xdr:row>34</xdr:row>
      <xdr:rowOff>21405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zoomScale="80" zoomScaleNormal="80" workbookViewId="0">
      <selection activeCell="F20" sqref="F20"/>
    </sheetView>
  </sheetViews>
  <sheetFormatPr defaultRowHeight="15"/>
  <cols>
    <col min="1" max="1" width="15.7109375" customWidth="1"/>
    <col min="2" max="2" width="12.42578125" customWidth="1"/>
    <col min="3" max="3" width="13.42578125" customWidth="1"/>
    <col min="4" max="4" width="17.42578125" customWidth="1"/>
    <col min="5" max="5" width="18.28515625" customWidth="1"/>
    <col min="6" max="6" width="18.7109375" customWidth="1"/>
    <col min="7" max="7" width="17.42578125" customWidth="1"/>
    <col min="8" max="8" width="15.85546875" customWidth="1"/>
    <col min="9" max="9" width="12.85546875" customWidth="1"/>
  </cols>
  <sheetData>
    <row r="1" spans="1:5" ht="60">
      <c r="A1" s="1" t="s">
        <v>0</v>
      </c>
      <c r="B1" s="1" t="s">
        <v>5</v>
      </c>
      <c r="C1" s="12" t="s">
        <v>44</v>
      </c>
      <c r="D1" s="11" t="s">
        <v>1</v>
      </c>
      <c r="E1" s="13" t="s">
        <v>9</v>
      </c>
    </row>
    <row r="2" spans="1:5">
      <c r="A2" s="3">
        <v>45291</v>
      </c>
      <c r="B2" s="2">
        <v>1</v>
      </c>
      <c r="C2" s="10">
        <v>317728</v>
      </c>
      <c r="D2" s="2">
        <f>LN(B2)</f>
        <v>0</v>
      </c>
      <c r="E2" s="2">
        <f>LN(C2)</f>
        <v>12.66895094983332</v>
      </c>
    </row>
    <row r="3" spans="1:5">
      <c r="A3" s="3">
        <v>45322</v>
      </c>
      <c r="B3" s="2">
        <v>2</v>
      </c>
      <c r="C3" s="10">
        <v>266895</v>
      </c>
      <c r="D3" s="2">
        <f t="shared" ref="D3:D25" si="0">LN(B3)</f>
        <v>0.69314718055994529</v>
      </c>
      <c r="E3" s="2">
        <f t="shared" ref="E3:E25" si="1">LN(C3)</f>
        <v>12.494610601609047</v>
      </c>
    </row>
    <row r="4" spans="1:5">
      <c r="A4" s="3">
        <v>45351</v>
      </c>
      <c r="B4" s="2">
        <v>3</v>
      </c>
      <c r="C4" s="10">
        <v>287493</v>
      </c>
      <c r="D4" s="2">
        <f t="shared" si="0"/>
        <v>1.0986122886681098</v>
      </c>
      <c r="E4" s="2">
        <f t="shared" si="1"/>
        <v>12.568953791097043</v>
      </c>
    </row>
    <row r="5" spans="1:5">
      <c r="A5" s="3">
        <v>45382</v>
      </c>
      <c r="B5" s="2">
        <v>4</v>
      </c>
      <c r="C5" s="10">
        <v>365845</v>
      </c>
      <c r="D5" s="2">
        <f t="shared" si="0"/>
        <v>1.3862943611198906</v>
      </c>
      <c r="E5" s="2">
        <f t="shared" si="1"/>
        <v>12.809965025415449</v>
      </c>
    </row>
    <row r="6" spans="1:5">
      <c r="A6" s="3">
        <v>45412</v>
      </c>
      <c r="B6" s="2">
        <v>5</v>
      </c>
      <c r="C6" s="10">
        <v>243309</v>
      </c>
      <c r="D6" s="2">
        <f t="shared" si="0"/>
        <v>1.6094379124341003</v>
      </c>
      <c r="E6" s="2">
        <f t="shared" si="1"/>
        <v>12.402087519456131</v>
      </c>
    </row>
    <row r="7" spans="1:5">
      <c r="A7" s="3">
        <v>45443</v>
      </c>
      <c r="B7" s="2">
        <v>6</v>
      </c>
      <c r="C7" s="10">
        <v>272405</v>
      </c>
      <c r="D7" s="2">
        <f t="shared" si="0"/>
        <v>1.791759469228055</v>
      </c>
      <c r="E7" s="2">
        <f t="shared" si="1"/>
        <v>12.515045208448802</v>
      </c>
    </row>
    <row r="8" spans="1:5">
      <c r="A8" s="3">
        <v>45473</v>
      </c>
      <c r="B8" s="2">
        <v>7</v>
      </c>
      <c r="C8" s="10">
        <v>275638</v>
      </c>
      <c r="D8" s="2">
        <f t="shared" si="0"/>
        <v>1.9459101490553132</v>
      </c>
      <c r="E8" s="2">
        <f t="shared" si="1"/>
        <v>12.526843689603869</v>
      </c>
    </row>
    <row r="9" spans="1:5">
      <c r="A9" s="3">
        <v>45504</v>
      </c>
      <c r="B9" s="2">
        <v>8</v>
      </c>
      <c r="C9" s="10">
        <v>261386</v>
      </c>
      <c r="D9" s="2">
        <f t="shared" si="0"/>
        <v>2.0794415416798357</v>
      </c>
      <c r="E9" s="2">
        <f t="shared" si="1"/>
        <v>12.473753520972114</v>
      </c>
    </row>
    <row r="10" spans="1:5">
      <c r="A10" s="3">
        <v>45535</v>
      </c>
      <c r="B10" s="2">
        <v>9</v>
      </c>
      <c r="C10" s="10">
        <v>244279</v>
      </c>
      <c r="D10" s="2">
        <f t="shared" si="0"/>
        <v>2.1972245773362196</v>
      </c>
      <c r="E10" s="2">
        <f t="shared" si="1"/>
        <v>12.406066293665683</v>
      </c>
    </row>
    <row r="11" spans="1:5">
      <c r="A11" s="3">
        <v>45565</v>
      </c>
      <c r="B11" s="2">
        <v>10</v>
      </c>
      <c r="C11" s="10">
        <v>288511</v>
      </c>
      <c r="D11" s="2">
        <f t="shared" si="0"/>
        <v>2.3025850929940459</v>
      </c>
      <c r="E11" s="2">
        <f t="shared" si="1"/>
        <v>12.572488492452996</v>
      </c>
    </row>
    <row r="12" spans="1:5">
      <c r="A12" s="3">
        <v>45596</v>
      </c>
      <c r="B12" s="2">
        <v>11</v>
      </c>
      <c r="C12" s="10">
        <v>271549</v>
      </c>
      <c r="D12" s="2">
        <f t="shared" si="0"/>
        <v>2.3978952727983707</v>
      </c>
      <c r="E12" s="2">
        <f t="shared" si="1"/>
        <v>12.511897880893146</v>
      </c>
    </row>
    <row r="13" spans="1:5">
      <c r="A13" s="3">
        <v>45626</v>
      </c>
      <c r="B13" s="2">
        <v>12</v>
      </c>
      <c r="C13" s="10">
        <v>278763</v>
      </c>
      <c r="D13" s="2">
        <f t="shared" si="0"/>
        <v>2.4849066497880004</v>
      </c>
      <c r="E13" s="2">
        <f t="shared" si="1"/>
        <v>12.538117237440305</v>
      </c>
    </row>
    <row r="14" spans="1:5">
      <c r="A14" s="3">
        <v>45657</v>
      </c>
      <c r="B14" s="2">
        <v>13</v>
      </c>
      <c r="C14" s="10">
        <v>292517</v>
      </c>
      <c r="D14" s="2">
        <f t="shared" si="0"/>
        <v>2.5649493574615367</v>
      </c>
      <c r="E14" s="2">
        <f t="shared" si="1"/>
        <v>12.586278063623286</v>
      </c>
    </row>
    <row r="15" spans="1:5">
      <c r="A15" s="3">
        <v>45688</v>
      </c>
      <c r="B15" s="2">
        <v>14</v>
      </c>
      <c r="C15" s="10">
        <v>251136</v>
      </c>
      <c r="D15" s="2">
        <f t="shared" si="0"/>
        <v>2.6390573296152584</v>
      </c>
      <c r="E15" s="2">
        <f t="shared" si="1"/>
        <v>12.433749904044925</v>
      </c>
    </row>
    <row r="16" spans="1:5">
      <c r="A16" s="3">
        <v>45716</v>
      </c>
      <c r="B16" s="2">
        <v>15</v>
      </c>
      <c r="C16" s="10">
        <v>265185</v>
      </c>
      <c r="D16" s="2">
        <f t="shared" si="0"/>
        <v>2.7080502011022101</v>
      </c>
      <c r="E16" s="2">
        <f t="shared" si="1"/>
        <v>12.488182974608232</v>
      </c>
    </row>
    <row r="17" spans="1:11">
      <c r="A17" s="3">
        <v>45747</v>
      </c>
      <c r="B17" s="2">
        <v>16</v>
      </c>
      <c r="C17" s="10">
        <v>353463</v>
      </c>
      <c r="D17" s="2">
        <f t="shared" si="0"/>
        <v>2.7725887222397811</v>
      </c>
      <c r="E17" s="2">
        <f t="shared" si="1"/>
        <v>12.77553409123111</v>
      </c>
    </row>
    <row r="18" spans="1:11">
      <c r="A18" s="3">
        <v>45777</v>
      </c>
      <c r="B18" s="2">
        <v>17</v>
      </c>
      <c r="C18" s="10">
        <v>225729</v>
      </c>
      <c r="D18" s="2">
        <f t="shared" si="0"/>
        <v>2.8332133440562162</v>
      </c>
      <c r="E18" s="2">
        <f t="shared" si="1"/>
        <v>12.327090443696486</v>
      </c>
    </row>
    <row r="19" spans="1:11" ht="60">
      <c r="A19" s="26">
        <v>45808</v>
      </c>
      <c r="B19" s="27">
        <v>18</v>
      </c>
      <c r="C19" s="28">
        <v>256159</v>
      </c>
      <c r="D19" s="27">
        <f t="shared" si="0"/>
        <v>2.8903717578961645</v>
      </c>
      <c r="E19" s="27">
        <f t="shared" si="1"/>
        <v>12.453553624412804</v>
      </c>
      <c r="F19" s="5" t="s">
        <v>45</v>
      </c>
      <c r="G19" s="6" t="s">
        <v>7</v>
      </c>
      <c r="H19" s="5" t="s">
        <v>8</v>
      </c>
      <c r="I19" s="9" t="s">
        <v>6</v>
      </c>
      <c r="J19" s="24"/>
      <c r="K19" s="24"/>
    </row>
    <row r="20" spans="1:11">
      <c r="A20" s="22">
        <v>45838</v>
      </c>
      <c r="B20" s="23">
        <v>19</v>
      </c>
      <c r="C20" s="21">
        <v>262133</v>
      </c>
      <c r="D20" s="23">
        <f t="shared" si="0"/>
        <v>2.9444389791664403</v>
      </c>
      <c r="E20" s="23">
        <f t="shared" si="1"/>
        <v>12.476607287528678</v>
      </c>
      <c r="F20" s="4">
        <f t="shared" ref="F20:F25" si="2">$A$29*(B20^$B$29)</f>
        <v>265015.88359058613</v>
      </c>
      <c r="G20">
        <f t="shared" ref="G20:G25" si="3">ABS(C20-F20)</f>
        <v>2882.8835905861342</v>
      </c>
      <c r="H20" s="4">
        <f t="shared" ref="H20:H25" si="4">G20/C20</f>
        <v>1.0997789635742673E-2</v>
      </c>
      <c r="I20" s="7">
        <f>(H26/6)*100</f>
        <v>2.477101855807859</v>
      </c>
      <c r="J20" s="24"/>
      <c r="K20" s="24"/>
    </row>
    <row r="21" spans="1:11">
      <c r="A21" s="22">
        <v>45869</v>
      </c>
      <c r="B21" s="23">
        <v>20</v>
      </c>
      <c r="C21" s="21">
        <v>262745</v>
      </c>
      <c r="D21" s="23">
        <f t="shared" si="0"/>
        <v>2.9957322735539909</v>
      </c>
      <c r="E21" s="23">
        <f t="shared" si="1"/>
        <v>12.478939259062416</v>
      </c>
      <c r="F21" s="4">
        <f t="shared" si="2"/>
        <v>264380.24847621698</v>
      </c>
      <c r="G21">
        <f t="shared" si="3"/>
        <v>1635.248476216977</v>
      </c>
      <c r="H21" s="4">
        <f t="shared" si="4"/>
        <v>6.2237092093740207E-3</v>
      </c>
      <c r="J21" s="24"/>
      <c r="K21" s="24"/>
    </row>
    <row r="22" spans="1:11">
      <c r="A22" s="22">
        <v>45900</v>
      </c>
      <c r="B22" s="23">
        <v>21</v>
      </c>
      <c r="C22" s="21">
        <v>251081</v>
      </c>
      <c r="D22" s="23">
        <f t="shared" si="0"/>
        <v>3.044522437723423</v>
      </c>
      <c r="E22" s="23">
        <f t="shared" si="1"/>
        <v>12.433530875217865</v>
      </c>
      <c r="F22" s="4">
        <f t="shared" si="2"/>
        <v>263777.04740154941</v>
      </c>
      <c r="G22">
        <f t="shared" si="3"/>
        <v>12696.047401549411</v>
      </c>
      <c r="H22" s="4">
        <f t="shared" si="4"/>
        <v>5.0565544193106653E-2</v>
      </c>
      <c r="J22" s="24"/>
      <c r="K22" s="24"/>
    </row>
    <row r="23" spans="1:11">
      <c r="A23" s="22">
        <v>45930</v>
      </c>
      <c r="B23" s="23">
        <v>22</v>
      </c>
      <c r="C23" s="21">
        <v>278157</v>
      </c>
      <c r="D23" s="23">
        <f t="shared" si="0"/>
        <v>3.0910424533583161</v>
      </c>
      <c r="E23" s="23">
        <f t="shared" si="1"/>
        <v>12.535940981463963</v>
      </c>
      <c r="F23" s="4">
        <f t="shared" si="2"/>
        <v>263203.19428417122</v>
      </c>
      <c r="G23">
        <f t="shared" si="3"/>
        <v>14953.805715828785</v>
      </c>
      <c r="H23" s="4">
        <f t="shared" si="4"/>
        <v>5.3760307005859223E-2</v>
      </c>
      <c r="J23" s="24"/>
      <c r="K23" s="24"/>
    </row>
    <row r="24" spans="1:11">
      <c r="A24" s="22">
        <v>45961</v>
      </c>
      <c r="B24" s="23">
        <v>23</v>
      </c>
      <c r="C24" s="21">
        <v>258517</v>
      </c>
      <c r="D24" s="23">
        <f t="shared" si="0"/>
        <v>3.1354942159291497</v>
      </c>
      <c r="E24" s="23">
        <f t="shared" si="1"/>
        <v>12.462716734791472</v>
      </c>
      <c r="F24" s="4">
        <f t="shared" si="2"/>
        <v>262656.02079095604</v>
      </c>
      <c r="G24">
        <f t="shared" si="3"/>
        <v>4139.0207909560413</v>
      </c>
      <c r="H24" s="4">
        <f t="shared" si="4"/>
        <v>1.6010632921456002E-2</v>
      </c>
      <c r="J24" s="24"/>
      <c r="K24" s="24"/>
    </row>
    <row r="25" spans="1:11">
      <c r="A25" s="22">
        <v>45991</v>
      </c>
      <c r="B25" s="23">
        <v>24</v>
      </c>
      <c r="C25" s="21">
        <v>265067</v>
      </c>
      <c r="D25" s="23">
        <f t="shared" si="0"/>
        <v>3.1780538303479458</v>
      </c>
      <c r="E25" s="23">
        <f t="shared" si="1"/>
        <v>12.487737903200873</v>
      </c>
      <c r="F25" s="4">
        <f t="shared" si="2"/>
        <v>262133.20441392111</v>
      </c>
      <c r="G25">
        <f t="shared" si="3"/>
        <v>2933.7955860788934</v>
      </c>
      <c r="H25" s="4">
        <f t="shared" si="4"/>
        <v>1.106812838293297E-2</v>
      </c>
      <c r="J25" s="24"/>
      <c r="K25" s="24"/>
    </row>
    <row r="26" spans="1:11">
      <c r="A26" s="2"/>
      <c r="C26" s="1"/>
      <c r="H26" s="8">
        <f>SUM(H20:H25)</f>
        <v>0.14862611134847153</v>
      </c>
      <c r="J26" s="25"/>
      <c r="K26" s="25"/>
    </row>
    <row r="27" spans="1:11">
      <c r="A27" s="2"/>
      <c r="C27" s="1"/>
      <c r="J27" s="25"/>
      <c r="K27" s="25"/>
    </row>
    <row r="28" spans="1:11" ht="27" customHeight="1">
      <c r="A28" s="19" t="s">
        <v>3</v>
      </c>
      <c r="B28" s="18" t="s">
        <v>2</v>
      </c>
      <c r="C28" s="29" t="s">
        <v>4</v>
      </c>
      <c r="D28" s="29"/>
      <c r="E28" s="29"/>
      <c r="J28" s="25"/>
      <c r="K28" s="25"/>
    </row>
    <row r="29" spans="1:11" ht="48.75" customHeight="1">
      <c r="A29" s="20">
        <f>EXP(C52)</f>
        <v>304185.4008829071</v>
      </c>
      <c r="B29" s="20">
        <f>C53</f>
        <v>-4.6816261278733784E-2</v>
      </c>
      <c r="C29" s="30" t="s">
        <v>43</v>
      </c>
      <c r="D29" s="31"/>
      <c r="E29" s="31"/>
    </row>
    <row r="36" spans="2:7">
      <c r="B36" t="s">
        <v>10</v>
      </c>
    </row>
    <row r="37" spans="2:7" ht="15.75" thickBot="1"/>
    <row r="38" spans="2:7">
      <c r="B38" s="17" t="s">
        <v>11</v>
      </c>
      <c r="C38" s="17"/>
    </row>
    <row r="39" spans="2:7">
      <c r="B39" s="14" t="s">
        <v>12</v>
      </c>
      <c r="C39" s="14">
        <v>0.30398474492497429</v>
      </c>
    </row>
    <row r="40" spans="2:7">
      <c r="B40" s="14" t="s">
        <v>13</v>
      </c>
      <c r="C40" s="14">
        <v>9.2406725147101673E-2</v>
      </c>
    </row>
    <row r="41" spans="2:7">
      <c r="B41" s="14" t="s">
        <v>14</v>
      </c>
      <c r="C41" s="14">
        <v>3.5682145468795529E-2</v>
      </c>
    </row>
    <row r="42" spans="2:7">
      <c r="B42" s="14" t="s">
        <v>15</v>
      </c>
      <c r="C42" s="14">
        <v>0.12126732517991318</v>
      </c>
    </row>
    <row r="43" spans="2:7" ht="15.75" thickBot="1">
      <c r="B43" s="15" t="s">
        <v>16</v>
      </c>
      <c r="C43" s="15">
        <v>18</v>
      </c>
    </row>
    <row r="45" spans="2:7" ht="15.75" thickBot="1">
      <c r="B45" t="s">
        <v>17</v>
      </c>
    </row>
    <row r="46" spans="2:7">
      <c r="B46" s="16"/>
      <c r="C46" s="16" t="s">
        <v>22</v>
      </c>
      <c r="D46" s="16" t="s">
        <v>23</v>
      </c>
      <c r="E46" s="16" t="s">
        <v>24</v>
      </c>
      <c r="F46" s="16" t="s">
        <v>25</v>
      </c>
      <c r="G46" s="16" t="s">
        <v>26</v>
      </c>
    </row>
    <row r="47" spans="2:7">
      <c r="B47" s="14" t="s">
        <v>18</v>
      </c>
      <c r="C47" s="14">
        <v>1</v>
      </c>
      <c r="D47" s="14">
        <v>2.3956308079761207E-2</v>
      </c>
      <c r="E47" s="14">
        <v>2.3956308079761207E-2</v>
      </c>
      <c r="F47" s="14">
        <v>1.6290420426410295</v>
      </c>
      <c r="G47" s="14">
        <v>0.22005163780407597</v>
      </c>
    </row>
    <row r="48" spans="2:7">
      <c r="B48" s="14" t="s">
        <v>19</v>
      </c>
      <c r="C48" s="14">
        <v>16</v>
      </c>
      <c r="D48" s="14">
        <v>0.23529222650065287</v>
      </c>
      <c r="E48" s="14">
        <v>1.4705764156290805E-2</v>
      </c>
      <c r="F48" s="14"/>
      <c r="G48" s="14"/>
    </row>
    <row r="49" spans="2:10" ht="15.75" thickBot="1">
      <c r="B49" s="15" t="s">
        <v>20</v>
      </c>
      <c r="C49" s="15">
        <v>17</v>
      </c>
      <c r="D49" s="15">
        <v>0.25924853458041408</v>
      </c>
      <c r="E49" s="15"/>
      <c r="F49" s="15"/>
      <c r="G49" s="15"/>
    </row>
    <row r="50" spans="2:10" ht="15.75" thickBot="1"/>
    <row r="51" spans="2:10">
      <c r="B51" s="16"/>
      <c r="C51" s="16" t="s">
        <v>27</v>
      </c>
      <c r="D51" s="16" t="s">
        <v>15</v>
      </c>
      <c r="E51" s="16" t="s">
        <v>28</v>
      </c>
      <c r="F51" s="16" t="s">
        <v>29</v>
      </c>
      <c r="G51" s="16" t="s">
        <v>30</v>
      </c>
      <c r="H51" s="16" t="s">
        <v>31</v>
      </c>
      <c r="I51" s="16" t="s">
        <v>32</v>
      </c>
      <c r="J51" s="16" t="s">
        <v>33</v>
      </c>
    </row>
    <row r="52" spans="2:10">
      <c r="B52" s="14" t="s">
        <v>21</v>
      </c>
      <c r="C52" s="14">
        <v>12.625392665817772</v>
      </c>
      <c r="D52" s="14">
        <v>7.9483262028300819E-2</v>
      </c>
      <c r="E52" s="14">
        <v>158.84341361483595</v>
      </c>
      <c r="F52" s="14">
        <v>5.1105887820261313E-27</v>
      </c>
      <c r="G52" s="14">
        <v>12.456895677444585</v>
      </c>
      <c r="H52" s="14">
        <v>12.793889654190959</v>
      </c>
      <c r="I52" s="14">
        <v>12.456895677444585</v>
      </c>
      <c r="J52" s="14">
        <v>12.793889654190959</v>
      </c>
    </row>
    <row r="53" spans="2:10" ht="15.75" thickBot="1">
      <c r="B53" s="15" t="s">
        <v>34</v>
      </c>
      <c r="C53" s="15">
        <v>-4.6816261278733784E-2</v>
      </c>
      <c r="D53" s="15">
        <v>3.668010598073581E-2</v>
      </c>
      <c r="E53" s="15">
        <v>-1.2763393132866472</v>
      </c>
      <c r="F53" s="15">
        <v>0.22005163780407655</v>
      </c>
      <c r="G53" s="15">
        <v>-0.12457461232329288</v>
      </c>
      <c r="H53" s="15">
        <v>3.0942089765825312E-2</v>
      </c>
      <c r="I53" s="15">
        <v>-0.12457461232329288</v>
      </c>
      <c r="J53" s="15">
        <v>3.0942089765825312E-2</v>
      </c>
    </row>
    <row r="57" spans="2:10">
      <c r="B57" t="s">
        <v>35</v>
      </c>
      <c r="G57" t="s">
        <v>40</v>
      </c>
    </row>
    <row r="58" spans="2:10" ht="15.75" thickBot="1"/>
    <row r="59" spans="2:10">
      <c r="B59" s="16" t="s">
        <v>36</v>
      </c>
      <c r="C59" s="16" t="s">
        <v>37</v>
      </c>
      <c r="D59" s="16" t="s">
        <v>38</v>
      </c>
      <c r="E59" s="16" t="s">
        <v>39</v>
      </c>
      <c r="G59" s="16" t="s">
        <v>41</v>
      </c>
      <c r="H59" s="16" t="s">
        <v>42</v>
      </c>
    </row>
    <row r="60" spans="2:10">
      <c r="B60" s="14">
        <v>1</v>
      </c>
      <c r="C60" s="14">
        <v>12.625900759948552</v>
      </c>
      <c r="D60" s="14">
        <v>4.3050189884768386E-2</v>
      </c>
      <c r="E60" s="14">
        <v>0.42030210600463741</v>
      </c>
      <c r="G60" s="14">
        <v>2.0833333333333335</v>
      </c>
      <c r="H60" s="14">
        <v>12.327090443696486</v>
      </c>
    </row>
    <row r="61" spans="2:10">
      <c r="B61" s="14">
        <v>2</v>
      </c>
      <c r="C61" s="14">
        <v>12.593093918631812</v>
      </c>
      <c r="D61" s="14">
        <v>-9.8483317022765249E-2</v>
      </c>
      <c r="E61" s="14">
        <v>-0.96149972071634893</v>
      </c>
      <c r="G61" s="14">
        <v>6.25</v>
      </c>
      <c r="H61" s="14">
        <v>12.402087519456131</v>
      </c>
    </row>
    <row r="62" spans="2:10">
      <c r="B62" s="14">
        <v>3</v>
      </c>
      <c r="C62" s="14">
        <v>12.573903146694411</v>
      </c>
      <c r="D62" s="14">
        <v>-4.9493555973683101E-3</v>
      </c>
      <c r="E62" s="14">
        <v>-4.8320915343412846E-2</v>
      </c>
      <c r="G62" s="14">
        <v>10.416666666666668</v>
      </c>
      <c r="H62" s="14">
        <v>12.406066293665683</v>
      </c>
    </row>
    <row r="63" spans="2:10">
      <c r="B63" s="14">
        <v>4</v>
      </c>
      <c r="C63" s="14">
        <v>12.560287077315074</v>
      </c>
      <c r="D63" s="14">
        <v>0.24967794810037525</v>
      </c>
      <c r="E63" s="14">
        <v>2.4376237988820861</v>
      </c>
      <c r="G63" s="14">
        <v>14.583333333333334</v>
      </c>
      <c r="H63" s="14">
        <v>12.433530875217865</v>
      </c>
    </row>
    <row r="64" spans="2:10">
      <c r="B64" s="14">
        <v>5</v>
      </c>
      <c r="C64" s="14">
        <v>12.549725633390704</v>
      </c>
      <c r="D64" s="14">
        <v>-0.1476381139345726</v>
      </c>
      <c r="E64" s="14">
        <v>-1.4414015450186979</v>
      </c>
      <c r="G64" s="14">
        <v>18.75</v>
      </c>
      <c r="H64" s="14">
        <v>12.433749904044925</v>
      </c>
    </row>
    <row r="65" spans="2:8">
      <c r="B65" s="14">
        <v>6</v>
      </c>
      <c r="C65" s="14">
        <v>12.541096305377673</v>
      </c>
      <c r="D65" s="14">
        <v>-2.6051096928870976E-2</v>
      </c>
      <c r="E65" s="14">
        <v>-0.25433873653619826</v>
      </c>
      <c r="G65" s="14">
        <v>22.916666666666668</v>
      </c>
      <c r="H65" s="14">
        <v>12.453553624412804</v>
      </c>
    </row>
    <row r="66" spans="2:8">
      <c r="B66" s="14">
        <v>7</v>
      </c>
      <c r="C66" s="14">
        <v>12.533800312500842</v>
      </c>
      <c r="D66" s="14">
        <v>-6.9566228969737409E-3</v>
      </c>
      <c r="E66" s="14">
        <v>-6.7918010631415268E-2</v>
      </c>
      <c r="G66" s="14">
        <v>27.083333333333332</v>
      </c>
      <c r="H66" s="14">
        <v>12.462716734791472</v>
      </c>
    </row>
    <row r="67" spans="2:8">
      <c r="B67" s="14">
        <v>8</v>
      </c>
      <c r="C67" s="14">
        <v>12.527480235998334</v>
      </c>
      <c r="D67" s="14">
        <v>-5.3726715026220617E-2</v>
      </c>
      <c r="E67" s="14">
        <v>-0.52453779030185144</v>
      </c>
      <c r="G67" s="14">
        <v>31.25</v>
      </c>
      <c r="H67" s="14">
        <v>12.473753520972114</v>
      </c>
    </row>
    <row r="68" spans="2:8">
      <c r="B68" s="14">
        <v>9</v>
      </c>
      <c r="C68" s="14">
        <v>12.52190553344027</v>
      </c>
      <c r="D68" s="14">
        <v>-0.1158392397745871</v>
      </c>
      <c r="E68" s="14">
        <v>-1.1309468451952465</v>
      </c>
      <c r="G68" s="14">
        <v>35.416666666666671</v>
      </c>
      <c r="H68" s="14">
        <v>12.476607287528678</v>
      </c>
    </row>
    <row r="69" spans="2:8">
      <c r="B69" s="14">
        <v>10</v>
      </c>
      <c r="C69" s="14">
        <v>12.516918792073966</v>
      </c>
      <c r="D69" s="14">
        <v>5.5569700379029641E-2</v>
      </c>
      <c r="E69" s="14">
        <v>0.54253098910526476</v>
      </c>
      <c r="G69" s="14">
        <v>39.583333333333336</v>
      </c>
      <c r="H69" s="14">
        <v>12.478939259062416</v>
      </c>
    </row>
    <row r="70" spans="2:8">
      <c r="B70" s="14">
        <v>11</v>
      </c>
      <c r="C70" s="14">
        <v>12.512407735789809</v>
      </c>
      <c r="D70" s="14">
        <v>-5.0985489666288686E-4</v>
      </c>
      <c r="E70" s="14">
        <v>-4.9777500958249499E-3</v>
      </c>
      <c r="G70" s="14">
        <v>43.750000000000007</v>
      </c>
      <c r="H70" s="14">
        <v>12.487737903200873</v>
      </c>
    </row>
    <row r="71" spans="2:8">
      <c r="B71" s="14">
        <v>12</v>
      </c>
      <c r="C71" s="14">
        <v>12.508289464060933</v>
      </c>
      <c r="D71" s="14">
        <v>2.9827773379372147E-2</v>
      </c>
      <c r="E71" s="14">
        <v>0.29121070086649686</v>
      </c>
      <c r="G71" s="14">
        <v>47.916666666666671</v>
      </c>
      <c r="H71" s="14">
        <v>12.488182974608232</v>
      </c>
    </row>
    <row r="72" spans="2:8">
      <c r="B72" s="14">
        <v>13</v>
      </c>
      <c r="C72" s="14">
        <v>12.50450102131334</v>
      </c>
      <c r="D72" s="14">
        <v>8.1777042309946424E-2</v>
      </c>
      <c r="E72" s="14">
        <v>0.7983951568553167</v>
      </c>
      <c r="G72" s="14">
        <v>52.083333333333336</v>
      </c>
      <c r="H72" s="14">
        <v>12.494610601609047</v>
      </c>
    </row>
    <row r="73" spans="2:8">
      <c r="B73" s="14">
        <v>14</v>
      </c>
      <c r="C73" s="14">
        <v>12.500993471184103</v>
      </c>
      <c r="D73" s="14">
        <v>-6.7243567139177784E-2</v>
      </c>
      <c r="E73" s="14">
        <v>-0.65650379149338589</v>
      </c>
      <c r="G73" s="14">
        <v>56.250000000000007</v>
      </c>
      <c r="H73" s="14">
        <v>12.511897880893146</v>
      </c>
    </row>
    <row r="74" spans="2:8">
      <c r="B74" s="14">
        <v>15</v>
      </c>
      <c r="C74" s="14">
        <v>12.497728020136563</v>
      </c>
      <c r="D74" s="14">
        <v>-9.5450455283305757E-3</v>
      </c>
      <c r="E74" s="14">
        <v>-9.3188967300859835E-2</v>
      </c>
      <c r="G74" s="14">
        <v>60.416666666666671</v>
      </c>
      <c r="H74" s="14">
        <v>12.515045208448802</v>
      </c>
    </row>
    <row r="75" spans="2:8">
      <c r="B75" s="14">
        <v>16</v>
      </c>
      <c r="C75" s="14">
        <v>12.494673394681596</v>
      </c>
      <c r="D75" s="14">
        <v>0.28086069654951373</v>
      </c>
      <c r="E75" s="14">
        <v>2.7420632189930498</v>
      </c>
      <c r="G75" s="14">
        <v>64.583333333333343</v>
      </c>
      <c r="H75" s="14">
        <v>12.526843689603869</v>
      </c>
    </row>
    <row r="76" spans="2:8">
      <c r="B76" s="14">
        <v>17</v>
      </c>
      <c r="C76" s="14">
        <v>12.491804015127585</v>
      </c>
      <c r="D76" s="14">
        <v>-0.16471357143109877</v>
      </c>
      <c r="E76" s="14">
        <v>-1.6081104670000588</v>
      </c>
      <c r="G76" s="14">
        <v>68.75</v>
      </c>
      <c r="H76" s="14">
        <v>12.535940981463963</v>
      </c>
    </row>
    <row r="77" spans="2:8">
      <c r="B77" s="14">
        <v>18</v>
      </c>
      <c r="C77" s="14">
        <v>12.489098692123532</v>
      </c>
      <c r="D77" s="14">
        <v>-3.5545067710728517E-2</v>
      </c>
      <c r="E77" s="14">
        <v>-0.34702905740683959</v>
      </c>
      <c r="G77" s="14">
        <v>72.916666666666671</v>
      </c>
      <c r="H77" s="14">
        <v>12.538117237440305</v>
      </c>
    </row>
    <row r="78" spans="2:8">
      <c r="B78" s="14">
        <v>19</v>
      </c>
      <c r="C78" s="14">
        <v>12.486539676089999</v>
      </c>
      <c r="D78" s="14">
        <v>-9.9323885613209484E-3</v>
      </c>
      <c r="E78" s="14">
        <v>-9.6970625243550546E-2</v>
      </c>
      <c r="G78" s="14">
        <v>77.083333333333329</v>
      </c>
      <c r="H78" s="14">
        <v>12.568953791097043</v>
      </c>
    </row>
    <row r="79" spans="2:8">
      <c r="B79" s="14">
        <v>20</v>
      </c>
      <c r="C79" s="14">
        <v>12.484111950757226</v>
      </c>
      <c r="D79" s="14">
        <v>-5.1726916948098278E-3</v>
      </c>
      <c r="E79" s="14">
        <v>-5.0501361756141408E-2</v>
      </c>
      <c r="G79" s="14">
        <v>81.25</v>
      </c>
      <c r="H79" s="14">
        <v>12.572488492452996</v>
      </c>
    </row>
    <row r="80" spans="2:8">
      <c r="B80" s="14">
        <v>21</v>
      </c>
      <c r="C80" s="14">
        <v>12.481802699246701</v>
      </c>
      <c r="D80" s="14">
        <v>-4.8271824028836008E-2</v>
      </c>
      <c r="E80" s="14">
        <v>-0.47128129641963346</v>
      </c>
      <c r="G80" s="14">
        <v>85.416666666666671</v>
      </c>
      <c r="H80" s="14">
        <v>12.586278063623286</v>
      </c>
    </row>
    <row r="81" spans="2:8">
      <c r="B81" s="14">
        <v>22</v>
      </c>
      <c r="C81" s="14">
        <v>12.479600894473069</v>
      </c>
      <c r="D81" s="14">
        <v>5.6340086990893212E-2</v>
      </c>
      <c r="E81" s="14">
        <v>0.55005232911028523</v>
      </c>
      <c r="G81" s="14">
        <v>89.583333333333329</v>
      </c>
      <c r="H81" s="14">
        <v>12.66895094983332</v>
      </c>
    </row>
    <row r="82" spans="2:8">
      <c r="B82" s="14">
        <v>23</v>
      </c>
      <c r="C82" s="14">
        <v>12.477496980669752</v>
      </c>
      <c r="D82" s="14">
        <v>-1.478024587827953E-2</v>
      </c>
      <c r="E82" s="14">
        <v>-0.14430060556144444</v>
      </c>
      <c r="G82" s="14">
        <v>93.75</v>
      </c>
      <c r="H82" s="14">
        <v>12.77553409123111</v>
      </c>
    </row>
    <row r="83" spans="2:8" ht="15.75" thickBot="1">
      <c r="B83" s="15">
        <v>24</v>
      </c>
      <c r="C83" s="15">
        <v>12.475482622744195</v>
      </c>
      <c r="D83" s="15">
        <v>1.2255280456678008E-2</v>
      </c>
      <c r="E83" s="15">
        <v>0.11964918620351293</v>
      </c>
      <c r="G83" s="15">
        <v>97.916666666666671</v>
      </c>
      <c r="H83" s="15">
        <v>12.809965025415449</v>
      </c>
    </row>
  </sheetData>
  <sortState ref="H60:H83">
    <sortCondition ref="H60"/>
  </sortState>
  <mergeCells count="2">
    <mergeCell ref="C28:E28"/>
    <mergeCell ref="C29:E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2026-01-09T04:51:42Z</dcterms:created>
  <dcterms:modified xsi:type="dcterms:W3CDTF">2026-04-22T13:43:47Z</dcterms:modified>
</cp:coreProperties>
</file>